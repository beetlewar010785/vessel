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ef20da2c5b8b26/Рабочий стол/Иван/1C business setup/Fleet Management system/"/>
    </mc:Choice>
  </mc:AlternateContent>
  <xr:revisionPtr revIDLastSave="0" documentId="8_{16C96DB0-4373-440A-AFC7-D317810EFDFF}" xr6:coauthVersionLast="47" xr6:coauthVersionMax="47" xr10:uidLastSave="{00000000-0000-0000-0000-000000000000}"/>
  <bookViews>
    <workbookView xWindow="-108" yWindow="-108" windowWidth="23256" windowHeight="12456" xr2:uid="{16BFD040-9789-420A-834B-E2ABBBF96013}"/>
  </bookViews>
  <sheets>
    <sheet name="Equipment list" sheetId="2" r:id="rId1"/>
    <sheet name="List of vessels" sheetId="1" r:id="rId2"/>
    <sheet name="List of division" sheetId="3" r:id="rId3"/>
    <sheet name="Equipment type" sheetId="4" r:id="rId4"/>
    <sheet name="Maintanance matrix list" sheetId="5" r:id="rId5"/>
    <sheet name="Matrix 1" sheetId="6" r:id="rId6"/>
    <sheet name="Matrix 2" sheetId="9" r:id="rId7"/>
    <sheet name="Matrix 3" sheetId="12" r:id="rId8"/>
    <sheet name="Matrix 9" sheetId="7" r:id="rId9"/>
    <sheet name="Matrix 10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" l="1"/>
  <c r="L5" i="2"/>
  <c r="S4" i="2"/>
  <c r="T4" i="2" s="1"/>
  <c r="T23" i="2"/>
  <c r="Q5" i="2"/>
  <c r="S5" i="2" s="1"/>
  <c r="T5" i="2" s="1"/>
  <c r="Q23" i="2"/>
  <c r="Q24" i="2" s="1"/>
  <c r="O4" i="2"/>
  <c r="L4" i="2"/>
  <c r="K11" i="2"/>
  <c r="E4" i="8"/>
  <c r="E3" i="8"/>
  <c r="F5" i="7"/>
  <c r="F4" i="7"/>
  <c r="P5" i="2"/>
  <c r="R5" i="2" s="1"/>
  <c r="P4" i="2"/>
  <c r="R4" i="2" s="1"/>
  <c r="E8" i="6"/>
  <c r="E7" i="6"/>
  <c r="E6" i="6"/>
  <c r="E3" i="6"/>
  <c r="J4" i="1"/>
  <c r="J3" i="1"/>
  <c r="I3" i="1"/>
  <c r="U23" i="2" l="1"/>
</calcChain>
</file>

<file path=xl/sharedStrings.xml><?xml version="1.0" encoding="utf-8"?>
<sst xmlns="http://schemas.openxmlformats.org/spreadsheetml/2006/main" count="152" uniqueCount="88">
  <si>
    <t>Vessel name</t>
  </si>
  <si>
    <t>IMO</t>
  </si>
  <si>
    <t>Type</t>
  </si>
  <si>
    <t>CASPIAN FAUNA</t>
  </si>
  <si>
    <t>Tug</t>
  </si>
  <si>
    <t>MMSI</t>
  </si>
  <si>
    <t>Date of build:</t>
  </si>
  <si>
    <t>Kazakhstan</t>
  </si>
  <si>
    <t>Flag</t>
  </si>
  <si>
    <t>ARZUV</t>
  </si>
  <si>
    <t>Las docking date</t>
  </si>
  <si>
    <t>Crew vessel</t>
  </si>
  <si>
    <t>Docking frequency, m</t>
  </si>
  <si>
    <t>Next docking</t>
  </si>
  <si>
    <t>Vessel</t>
  </si>
  <si>
    <t>Engine room</t>
  </si>
  <si>
    <t>Bridge</t>
  </si>
  <si>
    <t>Communication Room</t>
  </si>
  <si>
    <t>Control Room</t>
  </si>
  <si>
    <t>Workshop</t>
  </si>
  <si>
    <t>Food storage</t>
  </si>
  <si>
    <t>Medical Bay</t>
  </si>
  <si>
    <t>Deck</t>
  </si>
  <si>
    <t>Crew Cabin</t>
  </si>
  <si>
    <t>Type of location</t>
  </si>
  <si>
    <t>Number of room</t>
  </si>
  <si>
    <t>Equipment type</t>
  </si>
  <si>
    <t>gearbox</t>
  </si>
  <si>
    <t>propeller</t>
  </si>
  <si>
    <t>engine</t>
  </si>
  <si>
    <t>air pressure vessel</t>
  </si>
  <si>
    <t>pump</t>
  </si>
  <si>
    <t>compressor</t>
  </si>
  <si>
    <t>genset</t>
  </si>
  <si>
    <t>oil water separator</t>
  </si>
  <si>
    <t>waterjet</t>
  </si>
  <si>
    <t>thruster</t>
  </si>
  <si>
    <t>winch</t>
  </si>
  <si>
    <t>crane</t>
  </si>
  <si>
    <t>anchor</t>
  </si>
  <si>
    <t>Equipment model</t>
  </si>
  <si>
    <t>Serial number</t>
  </si>
  <si>
    <t>Validity of certificate</t>
  </si>
  <si>
    <t>Actual runhour</t>
  </si>
  <si>
    <t>h</t>
  </si>
  <si>
    <t>date</t>
  </si>
  <si>
    <t>Maintanance 1</t>
  </si>
  <si>
    <t>Maintanance 2</t>
  </si>
  <si>
    <t>Maintanance 3</t>
  </si>
  <si>
    <t>Maintanance 4</t>
  </si>
  <si>
    <t>Maintanance 5</t>
  </si>
  <si>
    <t>Last maintanance performance</t>
  </si>
  <si>
    <t>Maker</t>
  </si>
  <si>
    <t>CAT</t>
  </si>
  <si>
    <t>Matrix no</t>
  </si>
  <si>
    <t>C4.4T</t>
  </si>
  <si>
    <t>Sewage treatment</t>
  </si>
  <si>
    <t>Model 2500</t>
  </si>
  <si>
    <t>Blue sea</t>
  </si>
  <si>
    <t>GMDSS</t>
  </si>
  <si>
    <t>Furuno</t>
  </si>
  <si>
    <t>FM-8900S</t>
  </si>
  <si>
    <t>QSK38-M1</t>
  </si>
  <si>
    <t>Cummins</t>
  </si>
  <si>
    <t>D7A</t>
  </si>
  <si>
    <t>Volvo</t>
  </si>
  <si>
    <t>SRP 340</t>
  </si>
  <si>
    <t>SCHOTTEL</t>
  </si>
  <si>
    <t>25-3S SWL</t>
  </si>
  <si>
    <t>HEILA</t>
  </si>
  <si>
    <t>CLUTCH</t>
  </si>
  <si>
    <t>R-500</t>
  </si>
  <si>
    <t>guascor</t>
  </si>
  <si>
    <t>E-360</t>
  </si>
  <si>
    <t>runhour</t>
  </si>
  <si>
    <t>Maintanance N</t>
  </si>
  <si>
    <t>Maintanance 6</t>
  </si>
  <si>
    <t>SF40TA</t>
  </si>
  <si>
    <t>Guascor</t>
  </si>
  <si>
    <t>period, m</t>
  </si>
  <si>
    <t>Advance order, runhours</t>
  </si>
  <si>
    <t>Advance order, m</t>
  </si>
  <si>
    <t>Order?</t>
  </si>
  <si>
    <t xml:space="preserve"> runhours</t>
  </si>
  <si>
    <t>Advance order,</t>
  </si>
  <si>
    <t>period m</t>
  </si>
  <si>
    <t>Order by h?</t>
  </si>
  <si>
    <t>Order by 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</si>
</sst>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9" fontId="0" fillId="0" borderId="1" xfId="0" applyNumberFormat="1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/>
    <xf numFmtId="14" fontId="0" fillId="0" borderId="0" xfId="0" applyNumberFormat="1"/>
    <xf numFmtId="1" fontId="0" fillId="2" borderId="1" xfId="0" applyNumberFormat="1" applyFill="1" applyBorder="1"/>
    <xf numFmtId="1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701040</xdr:colOff>
      <xdr:row>24</xdr:row>
      <xdr:rowOff>35560</xdr:rowOff>
    </xdr:from>
    <xdr:to>
      <xdr:col>12</xdr:col>
      <xdr:colOff>25400</xdr:colOff>
      <xdr:row>46</xdr:row>
      <xdr:rowOff>161937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4E4CA6-3C59-462C-B23D-2F121ECB4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" y="4424680"/>
          <a:ext cx="7272020" cy="4149737"/>
        </a:xfrm>
        <a:prstGeom prst="rect">
          <a:avLst/>
        </a:prstGeom>
      </xdr:spPr>
    </xdr:pic>
    <xdr:clientData/>
  </xdr:twoCellAnchor>
  <xdr:twoCellAnchor editAs="oneCell">
    <xdr:from>
      <xdr:col>19</xdr:col>
      <xdr:colOff>18241</xdr:colOff>
      <xdr:row>24</xdr:row>
      <xdr:rowOff>53340</xdr:rowOff>
    </xdr:from>
    <xdr:to>
      <xdr:col>30</xdr:col>
      <xdr:colOff>529993</xdr:colOff>
      <xdr:row>49</xdr:row>
      <xdr:rowOff>124309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ADAD6A-A110-4D03-BC46-14CBA569C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7441" y="4625340"/>
          <a:ext cx="7865052" cy="4642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runo.com/en/merchant/gmd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577E-79B0-4D49-B141-FF1F30A12DFF}">
  <dimension ref="B1:Z24"/>
  <sheetViews>
    <sheetView tabSelected="1" workbookViewId="0">
      <selection activeCell="D19" sqref="D19"/>
    </sheetView>
  </sheetViews>
  <sheetFormatPr defaultRowHeight="14.4" x14ac:dyDescent="0.3"/>
  <cols>
    <col min="2" max="2" width="6.44140625" bestFit="1" customWidth="1"/>
    <col min="3" max="3" width="13.44140625" bestFit="1" customWidth="1"/>
    <col min="4" max="4" width="8.6640625" customWidth="1"/>
    <col min="5" max="5" width="15.5546875" bestFit="1" customWidth="1"/>
    <col min="6" max="6" width="10.77734375" customWidth="1"/>
    <col min="7" max="7" width="12.109375" bestFit="1" customWidth="1"/>
    <col min="8" max="8" width="16.88671875" customWidth="1"/>
    <col min="9" max="9" width="8.21875" customWidth="1"/>
    <col min="10" max="10" width="5" bestFit="1" customWidth="1"/>
    <col min="11" max="11" width="13.88671875" bestFit="1" customWidth="1"/>
    <col min="12" max="12" width="11.33203125" bestFit="1" customWidth="1"/>
    <col min="13" max="13" width="5" bestFit="1" customWidth="1"/>
    <col min="14" max="14" width="13.88671875" bestFit="1" customWidth="1"/>
    <col min="15" max="15" width="6.5546875" bestFit="1" customWidth="1"/>
    <col min="16" max="16" width="5" bestFit="1" customWidth="1"/>
    <col min="17" max="17" width="12.77734375" bestFit="1" customWidth="1"/>
    <col min="18" max="18" width="10" bestFit="1" customWidth="1"/>
    <col min="19" max="19" width="9.5546875" bestFit="1" customWidth="1"/>
    <col min="20" max="20" width="10.88671875" bestFit="1" customWidth="1"/>
    <col min="21" max="21" width="10.33203125" bestFit="1" customWidth="1"/>
    <col min="22" max="22" width="10.88671875" bestFit="1" customWidth="1"/>
    <col min="24" max="24" width="10.88671875" bestFit="1" customWidth="1"/>
    <col min="26" max="26" width="10.88671875" bestFit="1" customWidth="1"/>
  </cols>
  <sheetData>
    <row r="1" spans="2:26" x14ac:dyDescent="0.3">
      <c r="B1" s="6" t="s">
        <v>14</v>
      </c>
      <c r="C1" s="6" t="s">
        <v>24</v>
      </c>
      <c r="D1" s="6" t="s">
        <v>25</v>
      </c>
      <c r="E1" s="6" t="s">
        <v>26</v>
      </c>
      <c r="F1" s="6" t="s">
        <v>40</v>
      </c>
      <c r="G1" s="6" t="s">
        <v>41</v>
      </c>
      <c r="H1" s="6" t="s">
        <v>42</v>
      </c>
      <c r="I1" s="6" t="s">
        <v>43</v>
      </c>
      <c r="J1" s="8" t="s">
        <v>51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2:26" x14ac:dyDescent="0.3">
      <c r="B2" s="6"/>
      <c r="C2" s="6"/>
      <c r="D2" s="6"/>
      <c r="E2" s="6"/>
      <c r="F2" s="6"/>
      <c r="G2" s="6"/>
      <c r="H2" s="6"/>
      <c r="I2" s="6"/>
      <c r="J2" s="11" t="s">
        <v>46</v>
      </c>
      <c r="K2" s="11"/>
      <c r="L2" s="11"/>
      <c r="M2" s="11" t="s">
        <v>47</v>
      </c>
      <c r="N2" s="11"/>
      <c r="O2" s="11"/>
      <c r="P2" s="11" t="s">
        <v>48</v>
      </c>
      <c r="Q2" s="11"/>
      <c r="R2" s="11"/>
      <c r="S2" s="11"/>
      <c r="T2" s="11"/>
      <c r="U2" s="11" t="s">
        <v>49</v>
      </c>
      <c r="V2" s="11"/>
      <c r="W2" s="11" t="s">
        <v>50</v>
      </c>
      <c r="X2" s="11"/>
      <c r="Y2" s="11" t="s">
        <v>76</v>
      </c>
      <c r="Z2" s="11"/>
    </row>
    <row r="3" spans="2:26" x14ac:dyDescent="0.3">
      <c r="B3" s="6"/>
      <c r="C3" s="6"/>
      <c r="D3" s="6"/>
      <c r="E3" s="6"/>
      <c r="F3" s="6"/>
      <c r="G3" s="6"/>
      <c r="H3" s="6"/>
      <c r="I3" s="6"/>
      <c r="J3" s="2" t="s">
        <v>44</v>
      </c>
      <c r="K3" s="2" t="s">
        <v>45</v>
      </c>
      <c r="L3" s="2" t="s">
        <v>82</v>
      </c>
      <c r="M3" s="2" t="s">
        <v>44</v>
      </c>
      <c r="N3" s="2" t="s">
        <v>45</v>
      </c>
      <c r="O3" s="2" t="s">
        <v>82</v>
      </c>
      <c r="P3" s="2" t="s">
        <v>44</v>
      </c>
      <c r="Q3" s="2" t="s">
        <v>45</v>
      </c>
      <c r="R3" s="2" t="s">
        <v>86</v>
      </c>
      <c r="S3" s="2" t="s">
        <v>87</v>
      </c>
      <c r="T3" s="4" t="s">
        <v>82</v>
      </c>
      <c r="U3" s="2" t="s">
        <v>44</v>
      </c>
      <c r="V3" s="2" t="s">
        <v>45</v>
      </c>
      <c r="W3" s="2" t="s">
        <v>44</v>
      </c>
      <c r="X3" s="2" t="s">
        <v>45</v>
      </c>
      <c r="Y3" s="2" t="s">
        <v>44</v>
      </c>
      <c r="Z3" s="2" t="s">
        <v>45</v>
      </c>
    </row>
    <row r="4" spans="2:26" x14ac:dyDescent="0.3">
      <c r="B4" s="7" t="s">
        <v>9</v>
      </c>
      <c r="C4" s="7" t="s">
        <v>15</v>
      </c>
      <c r="D4" s="7">
        <v>1</v>
      </c>
      <c r="E4" s="7" t="s">
        <v>29</v>
      </c>
      <c r="F4" s="7" t="s">
        <v>77</v>
      </c>
      <c r="G4" s="7">
        <v>6183993</v>
      </c>
      <c r="H4" s="10">
        <v>47392</v>
      </c>
      <c r="I4" s="7">
        <v>9000</v>
      </c>
      <c r="J4" s="7">
        <v>8900</v>
      </c>
      <c r="K4" s="10">
        <v>45787</v>
      </c>
      <c r="L4" s="14">
        <f>IF((J4+'Matrix 1'!C3-'Matrix 1'!E3)&gt;I4,1,0)</f>
        <v>1</v>
      </c>
      <c r="M4" s="7">
        <v>8300</v>
      </c>
      <c r="N4" s="10">
        <v>45762</v>
      </c>
      <c r="O4" s="12">
        <f>IF((M4+'Matrix 1'!C4-'Matrix 1'!E4)&gt;I4,1,0)</f>
        <v>1</v>
      </c>
      <c r="P4" s="7">
        <f>5400</f>
        <v>5400</v>
      </c>
      <c r="Q4" s="10">
        <v>45354</v>
      </c>
      <c r="R4" s="14">
        <f>IF((P4+'Matrix 1'!C5-'Matrix 1'!E5)&gt;I4,1,0)</f>
        <v>1</v>
      </c>
      <c r="S4" s="15">
        <f ca="1">IF((Q4+('Matrix 1'!D5+'Matrix 1'!F5)*30)&lt;TODAY(),0,1)</f>
        <v>0</v>
      </c>
      <c r="T4" s="15">
        <f ca="1">R4*S4</f>
        <v>0</v>
      </c>
      <c r="U4" s="7"/>
      <c r="V4" s="10"/>
      <c r="W4" s="7"/>
      <c r="X4" s="10"/>
      <c r="Y4" s="7"/>
      <c r="Z4" s="10"/>
    </row>
    <row r="5" spans="2:26" x14ac:dyDescent="0.3">
      <c r="B5" s="7" t="s">
        <v>9</v>
      </c>
      <c r="C5" s="7" t="s">
        <v>15</v>
      </c>
      <c r="D5" s="7">
        <v>2</v>
      </c>
      <c r="E5" s="7" t="s">
        <v>29</v>
      </c>
      <c r="F5" s="7" t="s">
        <v>77</v>
      </c>
      <c r="G5" s="7">
        <v>6183994</v>
      </c>
      <c r="H5" s="10">
        <v>47392</v>
      </c>
      <c r="I5" s="7">
        <v>9100</v>
      </c>
      <c r="J5" s="7">
        <v>8900</v>
      </c>
      <c r="K5" s="10">
        <v>45787</v>
      </c>
      <c r="L5" s="14">
        <f>IF((J5+'Matrix 1'!C3-'Matrix 1'!E3)&gt;I5,1,0)</f>
        <v>1</v>
      </c>
      <c r="M5" s="7">
        <v>8400</v>
      </c>
      <c r="N5" s="10">
        <v>45762</v>
      </c>
      <c r="O5" s="12">
        <f>IF((M5+'Matrix 1'!C4-'Matrix 1'!E4)&gt;I5,1,0)</f>
        <v>1</v>
      </c>
      <c r="P5" s="7">
        <f>5400</f>
        <v>5400</v>
      </c>
      <c r="Q5" s="10">
        <f>Q4+2</f>
        <v>45356</v>
      </c>
      <c r="R5" s="14">
        <f>IF((P5+'Matrix 1'!C5-'Matrix 1'!E5)&gt;I5,1,0)</f>
        <v>1</v>
      </c>
      <c r="S5" s="14">
        <f ca="1">IF((Q5+('Matrix 1'!D5+'Matrix 1'!F5)*30)&lt;TODAY(),0,1)</f>
        <v>1</v>
      </c>
      <c r="T5" s="14">
        <f ca="1">R5*S5</f>
        <v>1</v>
      </c>
      <c r="U5" s="7"/>
      <c r="V5" s="7"/>
      <c r="W5" s="7"/>
      <c r="X5" s="7"/>
      <c r="Y5" s="7"/>
      <c r="Z5" s="7"/>
    </row>
    <row r="6" spans="2:26" x14ac:dyDescent="0.3">
      <c r="B6" s="7" t="s">
        <v>9</v>
      </c>
      <c r="C6" s="7" t="s">
        <v>15</v>
      </c>
      <c r="D6" s="7">
        <v>1</v>
      </c>
      <c r="E6" s="7" t="s">
        <v>27</v>
      </c>
      <c r="F6" s="7" t="s">
        <v>71</v>
      </c>
      <c r="G6" s="7">
        <v>96194371</v>
      </c>
      <c r="H6" s="10">
        <v>47818</v>
      </c>
      <c r="I6" s="7">
        <v>9000</v>
      </c>
      <c r="J6" s="7">
        <v>5400</v>
      </c>
      <c r="K6" s="10">
        <v>45462</v>
      </c>
      <c r="L6" s="12"/>
      <c r="M6" s="7"/>
      <c r="N6" s="10"/>
      <c r="O6" s="10"/>
      <c r="P6" s="7"/>
      <c r="Q6" s="7"/>
      <c r="R6" s="7"/>
      <c r="S6" s="7"/>
      <c r="T6" s="12"/>
      <c r="U6" s="7"/>
      <c r="V6" s="7"/>
      <c r="W6" s="7"/>
      <c r="X6" s="7"/>
      <c r="Y6" s="7"/>
      <c r="Z6" s="7"/>
    </row>
    <row r="7" spans="2:26" x14ac:dyDescent="0.3">
      <c r="B7" s="7" t="s">
        <v>9</v>
      </c>
      <c r="C7" s="7" t="s">
        <v>15</v>
      </c>
      <c r="D7" s="7">
        <v>2</v>
      </c>
      <c r="E7" s="7" t="s">
        <v>27</v>
      </c>
      <c r="F7" s="7" t="s">
        <v>71</v>
      </c>
      <c r="G7" s="7">
        <v>96194372</v>
      </c>
      <c r="H7" s="10">
        <v>47818</v>
      </c>
      <c r="I7" s="7">
        <v>9100</v>
      </c>
      <c r="J7" s="7">
        <v>5400</v>
      </c>
      <c r="K7" s="10">
        <v>45462</v>
      </c>
      <c r="L7" s="12"/>
      <c r="M7" s="7"/>
      <c r="N7" s="10"/>
      <c r="O7" s="10"/>
      <c r="P7" s="7"/>
      <c r="Q7" s="7"/>
      <c r="R7" s="7"/>
      <c r="S7" s="7"/>
      <c r="T7" s="10"/>
      <c r="U7" s="7"/>
      <c r="V7" s="7"/>
      <c r="W7" s="7"/>
      <c r="X7" s="7"/>
      <c r="Y7" s="7"/>
      <c r="Z7" s="7"/>
    </row>
    <row r="8" spans="2:26" x14ac:dyDescent="0.3">
      <c r="B8" s="7" t="s">
        <v>9</v>
      </c>
      <c r="C8" s="7" t="s">
        <v>15</v>
      </c>
      <c r="D8" s="7">
        <v>1</v>
      </c>
      <c r="E8" s="7" t="s">
        <v>70</v>
      </c>
      <c r="F8" s="7" t="s">
        <v>73</v>
      </c>
      <c r="G8" s="7">
        <v>45653708</v>
      </c>
      <c r="H8" s="10">
        <v>47392</v>
      </c>
      <c r="I8" s="7">
        <v>9000</v>
      </c>
      <c r="J8" s="7">
        <v>8900</v>
      </c>
      <c r="K8" s="10">
        <v>45462</v>
      </c>
      <c r="L8" s="12"/>
      <c r="M8" s="7"/>
      <c r="N8" s="10"/>
      <c r="O8" s="10"/>
      <c r="P8" s="7"/>
      <c r="Q8" s="7"/>
      <c r="R8" s="7"/>
      <c r="S8" s="7"/>
      <c r="T8" s="10"/>
      <c r="U8" s="7"/>
      <c r="V8" s="7"/>
      <c r="W8" s="7"/>
      <c r="X8" s="7"/>
      <c r="Y8" s="7"/>
      <c r="Z8" s="7"/>
    </row>
    <row r="9" spans="2:26" x14ac:dyDescent="0.3">
      <c r="B9" s="7" t="s">
        <v>9</v>
      </c>
      <c r="C9" s="7" t="s">
        <v>15</v>
      </c>
      <c r="D9" s="7">
        <v>2</v>
      </c>
      <c r="E9" s="7" t="s">
        <v>70</v>
      </c>
      <c r="F9" s="7" t="s">
        <v>73</v>
      </c>
      <c r="G9" s="7">
        <v>45653709</v>
      </c>
      <c r="H9" s="10">
        <v>47392</v>
      </c>
      <c r="I9" s="7">
        <v>9100</v>
      </c>
      <c r="J9" s="7">
        <v>8900</v>
      </c>
      <c r="K9" s="10">
        <v>45462</v>
      </c>
      <c r="L9" s="12"/>
      <c r="M9" s="7"/>
      <c r="N9" s="10"/>
      <c r="O9" s="10"/>
      <c r="P9" s="7"/>
      <c r="Q9" s="7"/>
      <c r="R9" s="7"/>
      <c r="S9" s="7"/>
      <c r="T9" s="10"/>
      <c r="U9" s="7"/>
      <c r="V9" s="7"/>
      <c r="W9" s="7"/>
      <c r="X9" s="7"/>
      <c r="Y9" s="7"/>
      <c r="Z9" s="7"/>
    </row>
    <row r="10" spans="2:26" x14ac:dyDescent="0.3">
      <c r="B10" s="7" t="s">
        <v>9</v>
      </c>
      <c r="C10" s="7" t="s">
        <v>15</v>
      </c>
      <c r="D10" s="7">
        <v>1</v>
      </c>
      <c r="E10" s="7" t="s">
        <v>33</v>
      </c>
      <c r="F10" s="7" t="s">
        <v>55</v>
      </c>
      <c r="G10" s="7">
        <v>35550366</v>
      </c>
      <c r="H10" s="10"/>
      <c r="I10" s="7">
        <v>3000</v>
      </c>
      <c r="J10" s="7">
        <v>2700</v>
      </c>
      <c r="K10" s="10">
        <v>45305</v>
      </c>
      <c r="L10" s="12"/>
      <c r="M10" s="7">
        <v>2000</v>
      </c>
      <c r="N10" s="10">
        <v>45305</v>
      </c>
      <c r="O10" s="10"/>
      <c r="P10" s="7"/>
      <c r="Q10" s="7"/>
      <c r="R10" s="7"/>
      <c r="S10" s="7"/>
      <c r="T10" s="10"/>
      <c r="U10" s="7"/>
      <c r="V10" s="7"/>
      <c r="W10" s="7"/>
      <c r="X10" s="7"/>
      <c r="Y10" s="7"/>
      <c r="Z10" s="7"/>
    </row>
    <row r="11" spans="2:26" x14ac:dyDescent="0.3">
      <c r="B11" s="7" t="s">
        <v>9</v>
      </c>
      <c r="C11" s="7" t="s">
        <v>15</v>
      </c>
      <c r="D11" s="7">
        <v>2</v>
      </c>
      <c r="E11" s="7" t="s">
        <v>56</v>
      </c>
      <c r="F11" s="7" t="s">
        <v>57</v>
      </c>
      <c r="G11" s="7">
        <v>25222980</v>
      </c>
      <c r="H11" s="10">
        <v>46447</v>
      </c>
      <c r="I11" s="7"/>
      <c r="J11" s="7"/>
      <c r="K11" s="10">
        <f ca="1">TODAY()-20</f>
        <v>45785</v>
      </c>
      <c r="L11" s="12"/>
      <c r="M11" s="7"/>
      <c r="N11" s="7"/>
      <c r="O11" s="10"/>
      <c r="P11" s="7"/>
      <c r="Q11" s="7"/>
      <c r="R11" s="7"/>
      <c r="S11" s="7"/>
      <c r="T11" s="10"/>
      <c r="U11" s="7"/>
      <c r="V11" s="7"/>
      <c r="W11" s="7"/>
      <c r="X11" s="7"/>
      <c r="Y11" s="7"/>
      <c r="Z11" s="7"/>
    </row>
    <row r="12" spans="2:26" x14ac:dyDescent="0.3">
      <c r="B12" s="7" t="s">
        <v>9</v>
      </c>
      <c r="C12" s="7" t="s">
        <v>17</v>
      </c>
      <c r="D12" s="7">
        <v>1</v>
      </c>
      <c r="E12" s="7" t="s">
        <v>59</v>
      </c>
      <c r="F12" s="7" t="s">
        <v>61</v>
      </c>
      <c r="G12" s="7">
        <v>80026465</v>
      </c>
      <c r="H12" s="10">
        <v>46204</v>
      </c>
      <c r="I12" s="7"/>
      <c r="J12" s="7"/>
      <c r="K12" s="7"/>
      <c r="L12" s="12"/>
      <c r="M12" s="7"/>
      <c r="N12" s="7"/>
      <c r="O12" s="10"/>
      <c r="P12" s="7"/>
      <c r="Q12" s="7"/>
      <c r="R12" s="7"/>
      <c r="S12" s="7"/>
      <c r="T12" s="10"/>
      <c r="U12" s="7"/>
      <c r="V12" s="7"/>
      <c r="W12" s="7"/>
      <c r="X12" s="7"/>
      <c r="Y12" s="7"/>
      <c r="Z12" s="7"/>
    </row>
    <row r="13" spans="2:26" x14ac:dyDescent="0.3">
      <c r="B13" s="7"/>
      <c r="C13" s="7"/>
      <c r="D13" s="7"/>
      <c r="E13" s="7"/>
      <c r="F13" s="7"/>
      <c r="G13" s="7"/>
      <c r="H13" s="10"/>
      <c r="I13" s="7"/>
      <c r="J13" s="7"/>
      <c r="K13" s="7"/>
      <c r="L13" s="12"/>
      <c r="M13" s="7"/>
      <c r="N13" s="7"/>
      <c r="O13" s="10"/>
      <c r="P13" s="7"/>
      <c r="Q13" s="7"/>
      <c r="R13" s="7"/>
      <c r="S13" s="7"/>
      <c r="T13" s="10"/>
      <c r="U13" s="7"/>
      <c r="V13" s="7"/>
      <c r="W13" s="7"/>
      <c r="X13" s="7"/>
      <c r="Y13" s="7"/>
      <c r="Z13" s="7"/>
    </row>
    <row r="14" spans="2:26" x14ac:dyDescent="0.3">
      <c r="B14" s="7"/>
      <c r="C14" s="7"/>
      <c r="D14" s="7"/>
      <c r="E14" s="7"/>
      <c r="F14" s="7"/>
      <c r="G14" s="7"/>
      <c r="H14" s="10"/>
      <c r="I14" s="7"/>
      <c r="J14" s="7"/>
      <c r="K14" s="7"/>
      <c r="L14" s="12"/>
      <c r="M14" s="7"/>
      <c r="N14" s="7"/>
      <c r="O14" s="10"/>
      <c r="P14" s="7"/>
      <c r="Q14" s="7"/>
      <c r="R14" s="7"/>
      <c r="S14" s="7"/>
      <c r="T14" s="10"/>
      <c r="U14" s="7"/>
      <c r="V14" s="7"/>
      <c r="W14" s="7"/>
      <c r="X14" s="7"/>
      <c r="Y14" s="7"/>
      <c r="Z14" s="7"/>
    </row>
    <row r="15" spans="2:26" x14ac:dyDescent="0.3">
      <c r="B15" s="7"/>
      <c r="C15" s="7"/>
      <c r="D15" s="7"/>
      <c r="E15" s="7"/>
      <c r="F15" s="7"/>
      <c r="G15" s="7"/>
      <c r="H15" s="10"/>
      <c r="I15" s="7"/>
      <c r="J15" s="7"/>
      <c r="K15" s="7"/>
      <c r="L15" s="12"/>
      <c r="M15" s="7"/>
      <c r="N15" s="7"/>
      <c r="O15" s="10"/>
      <c r="P15" s="7"/>
      <c r="Q15" s="7"/>
      <c r="R15" s="7"/>
      <c r="S15" s="7"/>
      <c r="T15" s="10"/>
      <c r="U15" s="7"/>
      <c r="V15" s="7"/>
      <c r="W15" s="7"/>
      <c r="X15" s="7"/>
      <c r="Y15" s="7"/>
      <c r="Z15" s="7"/>
    </row>
    <row r="16" spans="2:26" x14ac:dyDescent="0.3">
      <c r="B16" s="7"/>
      <c r="C16" s="7"/>
      <c r="D16" s="7"/>
      <c r="E16" s="7"/>
      <c r="F16" s="7"/>
      <c r="G16" s="7"/>
      <c r="H16" s="10"/>
      <c r="I16" s="7"/>
      <c r="J16" s="7"/>
      <c r="K16" s="7"/>
      <c r="L16" s="12"/>
      <c r="M16" s="7"/>
      <c r="N16" s="7"/>
      <c r="O16" s="10"/>
      <c r="P16" s="7"/>
      <c r="Q16" s="7"/>
      <c r="R16" s="7"/>
      <c r="S16" s="7"/>
      <c r="T16" s="10"/>
      <c r="U16" s="7"/>
      <c r="V16" s="7"/>
      <c r="W16" s="7"/>
      <c r="X16" s="7"/>
      <c r="Y16" s="7"/>
      <c r="Z16" s="7"/>
    </row>
    <row r="17" spans="2:26" x14ac:dyDescent="0.3">
      <c r="B17" s="7"/>
      <c r="C17" s="7"/>
      <c r="D17" s="7"/>
      <c r="E17" s="7"/>
      <c r="F17" s="7"/>
      <c r="G17" s="7"/>
      <c r="H17" s="10"/>
      <c r="I17" s="7"/>
      <c r="J17" s="7"/>
      <c r="K17" s="7"/>
      <c r="L17" s="12"/>
      <c r="M17" s="7"/>
      <c r="N17" s="7"/>
      <c r="O17" s="10"/>
      <c r="P17" s="7"/>
      <c r="Q17" s="7"/>
      <c r="R17" s="7"/>
      <c r="S17" s="7"/>
      <c r="T17" s="10"/>
      <c r="U17" s="7"/>
      <c r="V17" s="7"/>
      <c r="W17" s="7"/>
      <c r="X17" s="7"/>
      <c r="Y17" s="7"/>
      <c r="Z17" s="7"/>
    </row>
    <row r="18" spans="2:26" x14ac:dyDescent="0.3">
      <c r="B18" s="7"/>
      <c r="C18" s="7"/>
      <c r="D18" s="7"/>
      <c r="E18" s="7"/>
      <c r="F18" s="7"/>
      <c r="G18" s="7"/>
      <c r="H18" s="10"/>
      <c r="I18" s="7"/>
      <c r="J18" s="7"/>
      <c r="K18" s="7"/>
      <c r="L18" s="12"/>
      <c r="M18" s="7"/>
      <c r="N18" s="7"/>
      <c r="O18" s="10"/>
      <c r="P18" s="7"/>
      <c r="Q18" s="7"/>
      <c r="R18" s="7"/>
      <c r="S18" s="7"/>
      <c r="T18" s="10"/>
      <c r="U18" s="7"/>
      <c r="V18" s="7"/>
      <c r="W18" s="7"/>
      <c r="X18" s="7"/>
      <c r="Y18" s="7"/>
      <c r="Z18" s="7"/>
    </row>
    <row r="19" spans="2:26" x14ac:dyDescent="0.3">
      <c r="B19" s="7"/>
      <c r="C19" s="7"/>
      <c r="D19" s="7"/>
      <c r="E19" s="7"/>
      <c r="F19" s="7"/>
      <c r="G19" s="7"/>
      <c r="H19" s="10"/>
      <c r="I19" s="7"/>
      <c r="J19" s="7"/>
      <c r="K19" s="7"/>
      <c r="L19" s="12"/>
      <c r="M19" s="7"/>
      <c r="N19" s="7"/>
      <c r="O19" s="10"/>
      <c r="P19" s="7"/>
      <c r="Q19" s="7"/>
      <c r="R19" s="7"/>
      <c r="S19" s="7"/>
      <c r="T19" s="10"/>
      <c r="U19" s="7"/>
      <c r="V19" s="7"/>
      <c r="W19" s="7"/>
      <c r="X19" s="7"/>
      <c r="Y19" s="7"/>
      <c r="Z19" s="7"/>
    </row>
    <row r="20" spans="2:26" x14ac:dyDescent="0.3">
      <c r="B20" s="7"/>
      <c r="C20" s="7"/>
      <c r="D20" s="7"/>
      <c r="E20" s="7"/>
      <c r="F20" s="7"/>
      <c r="G20" s="7"/>
      <c r="H20" s="10"/>
      <c r="I20" s="7"/>
      <c r="J20" s="7"/>
      <c r="K20" s="7"/>
      <c r="L20" s="12"/>
      <c r="M20" s="7"/>
      <c r="N20" s="7"/>
      <c r="O20" s="10"/>
      <c r="P20" s="7"/>
      <c r="Q20" s="7"/>
      <c r="R20" s="7"/>
      <c r="S20" s="7"/>
      <c r="T20" s="10"/>
      <c r="U20" s="7"/>
      <c r="V20" s="7"/>
      <c r="W20" s="7"/>
      <c r="X20" s="7"/>
      <c r="Y20" s="7"/>
      <c r="Z20" s="7"/>
    </row>
    <row r="21" spans="2:26" x14ac:dyDescent="0.3">
      <c r="B21" s="7"/>
      <c r="C21" s="7"/>
      <c r="D21" s="7"/>
      <c r="E21" s="7"/>
      <c r="F21" s="7"/>
      <c r="G21" s="7"/>
      <c r="H21" s="10"/>
      <c r="I21" s="7"/>
      <c r="J21" s="7"/>
      <c r="K21" s="7"/>
      <c r="L21" s="12"/>
      <c r="M21" s="7"/>
      <c r="N21" s="7"/>
      <c r="O21" s="10"/>
      <c r="P21" s="7"/>
      <c r="Q21" s="7"/>
      <c r="R21" s="7"/>
      <c r="S21" s="7"/>
      <c r="T21" s="10"/>
      <c r="U21" s="7"/>
      <c r="V21" s="7"/>
      <c r="W21" s="7"/>
      <c r="X21" s="7"/>
      <c r="Y21" s="7"/>
      <c r="Z21" s="7"/>
    </row>
    <row r="23" spans="2:26" x14ac:dyDescent="0.3">
      <c r="Q23" s="13">
        <f ca="1">TODAY()</f>
        <v>45805</v>
      </c>
      <c r="R23" s="13"/>
      <c r="S23" s="13"/>
      <c r="T23" s="10">
        <f>Q4+('Matrix 1'!D5+'Matrix 1'!F5)*30</f>
        <v>45804</v>
      </c>
      <c r="U23" s="13">
        <f ca="1">Q23-T23</f>
        <v>1</v>
      </c>
    </row>
    <row r="24" spans="2:26" x14ac:dyDescent="0.3">
      <c r="Q24" s="13">
        <f ca="1">Q23-450</f>
        <v>45355</v>
      </c>
      <c r="R24" s="13"/>
      <c r="S24" s="13"/>
    </row>
  </sheetData>
  <mergeCells count="15">
    <mergeCell ref="H1:H3"/>
    <mergeCell ref="I1:I3"/>
    <mergeCell ref="Y2:Z2"/>
    <mergeCell ref="J1:Z1"/>
    <mergeCell ref="B1:B3"/>
    <mergeCell ref="C1:C3"/>
    <mergeCell ref="D1:D3"/>
    <mergeCell ref="E1:E3"/>
    <mergeCell ref="F1:F3"/>
    <mergeCell ref="G1:G3"/>
    <mergeCell ref="J2:L2"/>
    <mergeCell ref="M2:O2"/>
    <mergeCell ref="P2:T2"/>
    <mergeCell ref="U2:V2"/>
    <mergeCell ref="W2:X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D0037E2-733D-40C7-AB74-BA904DFEBDC3}">
          <x14:formula1>
            <xm:f>'List of vessels'!$B$3:$B$6</xm:f>
          </x14:formula1>
          <xm:sqref>B4:B21</xm:sqref>
        </x14:dataValidation>
        <x14:dataValidation type="list" allowBlank="1" showInputMessage="1" showErrorMessage="1" xr:uid="{B374A7EE-97EF-466D-A619-5020FEBB2D45}">
          <x14:formula1>
            <xm:f>'List of division'!$C$3:$C$11</xm:f>
          </x14:formula1>
          <xm:sqref>C4:C21</xm:sqref>
        </x14:dataValidation>
        <x14:dataValidation type="list" allowBlank="1" showInputMessage="1" showErrorMessage="1" xr:uid="{7E945E31-9E77-4565-A6FB-D4C72A50A6D6}">
          <x14:formula1>
            <xm:f>'Equipment type'!$B:$B</xm:f>
          </x14:formula1>
          <xm:sqref>E4:E21</xm:sqref>
        </x14:dataValidation>
        <x14:dataValidation type="list" allowBlank="1" showInputMessage="1" showErrorMessage="1" xr:uid="{36BC67EA-EA35-4438-8F0D-992E8CDDF761}">
          <x14:formula1>
            <xm:f>'Maintanance matrix list'!$B:$B</xm:f>
          </x14:formula1>
          <xm:sqref>F4:F21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5B22-921A-43BA-8791-EEB5310BB556}">
  <dimension ref="B2:J4"/>
  <sheetViews>
    <sheetView zoomScaleNormal="100" workbookViewId="0">
      <selection activeCell="H5" sqref="H5"/>
    </sheetView>
  </sheetViews>
  <sheetFormatPr defaultRowHeight="14.4" x14ac:dyDescent="0.3"/>
  <cols>
    <col min="2" max="2" width="14.5546875" bestFit="1" customWidth="1"/>
    <col min="3" max="3" width="8" bestFit="1" customWidth="1"/>
    <col min="4" max="4" width="11.88671875" bestFit="1" customWidth="1"/>
    <col min="5" max="5" width="10" bestFit="1" customWidth="1"/>
    <col min="6" max="6" width="11.44140625" bestFit="1" customWidth="1"/>
    <col min="7" max="7" width="10.109375" bestFit="1" customWidth="1"/>
    <col min="8" max="8" width="16.5546875" bestFit="1" customWidth="1"/>
    <col min="9" max="9" width="17.6640625" bestFit="1" customWidth="1"/>
    <col min="10" max="10" width="17.44140625" customWidth="1"/>
  </cols>
  <sheetData>
    <row r="2" spans="2:10" x14ac:dyDescent="0.3">
      <c r="B2" s="2" t="s">
        <v>0</v>
      </c>
      <c r="C2" s="2" t="s">
        <v>1</v>
      </c>
      <c r="D2" s="2" t="s">
        <v>2</v>
      </c>
      <c r="E2" s="2" t="s">
        <v>5</v>
      </c>
      <c r="F2" s="2" t="s">
        <v>6</v>
      </c>
      <c r="G2" s="2" t="s">
        <v>8</v>
      </c>
      <c r="H2" s="2" t="s">
        <v>10</v>
      </c>
      <c r="I2" s="2" t="s">
        <v>12</v>
      </c>
      <c r="J2" s="2" t="s">
        <v>13</v>
      </c>
    </row>
    <row r="3" spans="2:10" x14ac:dyDescent="0.3">
      <c r="B3" s="2" t="s">
        <v>3</v>
      </c>
      <c r="C3" s="2">
        <v>9895343</v>
      </c>
      <c r="D3" s="2" t="s">
        <v>4</v>
      </c>
      <c r="E3" s="2">
        <v>436000395</v>
      </c>
      <c r="F3" s="3">
        <v>43983</v>
      </c>
      <c r="G3" s="2" t="s">
        <v>7</v>
      </c>
      <c r="H3" s="3">
        <v>45536</v>
      </c>
      <c r="I3" s="2">
        <f>5*12</f>
        <v>60</v>
      </c>
      <c r="J3" s="3">
        <f>H3+I3*30</f>
        <v>47336</v>
      </c>
    </row>
    <row r="4" spans="2:10" x14ac:dyDescent="0.3">
      <c r="B4" s="2" t="s">
        <v>9</v>
      </c>
      <c r="C4" s="2">
        <v>9581904</v>
      </c>
      <c r="D4" s="2" t="s">
        <v>11</v>
      </c>
      <c r="E4" s="2">
        <v>436000224</v>
      </c>
      <c r="F4" s="3">
        <v>40269</v>
      </c>
      <c r="G4" s="2" t="s">
        <v>7</v>
      </c>
      <c r="H4" s="3">
        <v>44652</v>
      </c>
      <c r="I4" s="2">
        <v>36</v>
      </c>
      <c r="J4" s="3">
        <f>H4+I4*30</f>
        <v>45732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F6C8-1CBF-498E-A87E-5E51659CA1E1}">
  <dimension ref="C3:C11"/>
  <sheetViews>
    <sheetView workbookViewId="0">
      <selection activeCell="E8" sqref="E8"/>
    </sheetView>
  </sheetViews>
  <sheetFormatPr defaultRowHeight="14.4" x14ac:dyDescent="0.3"/>
  <cols>
    <col min="3" max="3" width="19" bestFit="1" customWidth="1"/>
  </cols>
  <sheetData>
    <row r="3" spans="3:3" x14ac:dyDescent="0.3">
      <c r="C3" t="s">
        <v>15</v>
      </c>
    </row>
    <row r="4" spans="3:3" x14ac:dyDescent="0.3">
      <c r="C4" t="s">
        <v>16</v>
      </c>
    </row>
    <row r="5" spans="3:3" x14ac:dyDescent="0.3">
      <c r="C5" t="s">
        <v>17</v>
      </c>
    </row>
    <row r="6" spans="3:3" x14ac:dyDescent="0.3">
      <c r="C6" t="s">
        <v>18</v>
      </c>
    </row>
    <row r="7" spans="3:3" x14ac:dyDescent="0.3">
      <c r="C7" t="s">
        <v>19</v>
      </c>
    </row>
    <row r="8" spans="3:3" x14ac:dyDescent="0.3">
      <c r="C8" t="s">
        <v>20</v>
      </c>
    </row>
    <row r="9" spans="3:3" x14ac:dyDescent="0.3">
      <c r="C9" t="s">
        <v>21</v>
      </c>
    </row>
    <row r="10" spans="3:3" x14ac:dyDescent="0.3">
      <c r="C10" t="s">
        <v>22</v>
      </c>
    </row>
    <row r="11" spans="3:3" x14ac:dyDescent="0.3">
      <c r="C1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E851-C499-4FFC-9EDA-C14D8FBB55AF}">
  <dimension ref="B2:B17"/>
  <sheetViews>
    <sheetView workbookViewId="0">
      <selection activeCell="B18" sqref="B18"/>
    </sheetView>
  </sheetViews>
  <sheetFormatPr defaultRowHeight="14.4" x14ac:dyDescent="0.3"/>
  <cols>
    <col min="2" max="2" width="16" bestFit="1" customWidth="1"/>
  </cols>
  <sheetData>
    <row r="2" spans="2:2" x14ac:dyDescent="0.3">
      <c r="B2" t="s">
        <v>29</v>
      </c>
    </row>
    <row r="3" spans="2:2" x14ac:dyDescent="0.3">
      <c r="B3" t="s">
        <v>27</v>
      </c>
    </row>
    <row r="4" spans="2:2" x14ac:dyDescent="0.3">
      <c r="B4" t="s">
        <v>28</v>
      </c>
    </row>
    <row r="5" spans="2:2" x14ac:dyDescent="0.3">
      <c r="B5" t="s">
        <v>30</v>
      </c>
    </row>
    <row r="6" spans="2:2" x14ac:dyDescent="0.3">
      <c r="B6" t="s">
        <v>31</v>
      </c>
    </row>
    <row r="7" spans="2:2" x14ac:dyDescent="0.3">
      <c r="B7" t="s">
        <v>32</v>
      </c>
    </row>
    <row r="8" spans="2:2" x14ac:dyDescent="0.3">
      <c r="B8" t="s">
        <v>33</v>
      </c>
    </row>
    <row r="9" spans="2:2" x14ac:dyDescent="0.3">
      <c r="B9" t="s">
        <v>34</v>
      </c>
    </row>
    <row r="10" spans="2:2" x14ac:dyDescent="0.3">
      <c r="B10" t="s">
        <v>35</v>
      </c>
    </row>
    <row r="11" spans="2:2" x14ac:dyDescent="0.3">
      <c r="B11" t="s">
        <v>36</v>
      </c>
    </row>
    <row r="12" spans="2:2" x14ac:dyDescent="0.3">
      <c r="B12" t="s">
        <v>37</v>
      </c>
    </row>
    <row r="13" spans="2:2" x14ac:dyDescent="0.3">
      <c r="B13" t="s">
        <v>38</v>
      </c>
    </row>
    <row r="14" spans="2:2" x14ac:dyDescent="0.3">
      <c r="B14" t="s">
        <v>39</v>
      </c>
    </row>
    <row r="15" spans="2:2" x14ac:dyDescent="0.3">
      <c r="B15" t="s">
        <v>56</v>
      </c>
    </row>
    <row r="16" spans="2:2" x14ac:dyDescent="0.3">
      <c r="B16" t="s">
        <v>59</v>
      </c>
    </row>
    <row r="17" spans="2:2" x14ac:dyDescent="0.3">
      <c r="B17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1A5C-057F-47AB-A336-C8352FC9B488}">
  <dimension ref="B3:D13"/>
  <sheetViews>
    <sheetView zoomScale="110" zoomScaleNormal="110" workbookViewId="0">
      <selection activeCell="L23" sqref="L23"/>
    </sheetView>
  </sheetViews>
  <sheetFormatPr defaultRowHeight="14.4" x14ac:dyDescent="0.3"/>
  <sheetData>
    <row r="3" spans="2:4" x14ac:dyDescent="0.3">
      <c r="C3" t="s">
        <v>52</v>
      </c>
      <c r="D3" t="s">
        <v>54</v>
      </c>
    </row>
    <row r="4" spans="2:4" x14ac:dyDescent="0.3">
      <c r="B4" t="s">
        <v>77</v>
      </c>
      <c r="C4" t="s">
        <v>78</v>
      </c>
      <c r="D4">
        <v>1</v>
      </c>
    </row>
    <row r="5" spans="2:4" x14ac:dyDescent="0.3">
      <c r="B5" t="s">
        <v>55</v>
      </c>
      <c r="C5" t="s">
        <v>53</v>
      </c>
      <c r="D5">
        <v>2</v>
      </c>
    </row>
    <row r="6" spans="2:4" x14ac:dyDescent="0.3">
      <c r="B6" t="s">
        <v>57</v>
      </c>
      <c r="C6" t="s">
        <v>58</v>
      </c>
      <c r="D6">
        <v>3</v>
      </c>
    </row>
    <row r="7" spans="2:4" x14ac:dyDescent="0.3">
      <c r="B7" t="s">
        <v>61</v>
      </c>
      <c r="C7" t="s">
        <v>60</v>
      </c>
      <c r="D7">
        <v>4</v>
      </c>
    </row>
    <row r="8" spans="2:4" x14ac:dyDescent="0.3">
      <c r="B8" t="s">
        <v>62</v>
      </c>
      <c r="C8" t="s">
        <v>63</v>
      </c>
      <c r="D8">
        <v>5</v>
      </c>
    </row>
    <row r="9" spans="2:4" x14ac:dyDescent="0.3">
      <c r="B9" t="s">
        <v>64</v>
      </c>
      <c r="C9" t="s">
        <v>65</v>
      </c>
      <c r="D9">
        <v>6</v>
      </c>
    </row>
    <row r="10" spans="2:4" x14ac:dyDescent="0.3">
      <c r="B10" t="s">
        <v>66</v>
      </c>
      <c r="C10" t="s">
        <v>67</v>
      </c>
      <c r="D10">
        <v>7</v>
      </c>
    </row>
    <row r="11" spans="2:4" x14ac:dyDescent="0.3">
      <c r="B11" t="s">
        <v>68</v>
      </c>
      <c r="C11" t="s">
        <v>69</v>
      </c>
      <c r="D11">
        <v>8</v>
      </c>
    </row>
    <row r="12" spans="2:4" x14ac:dyDescent="0.3">
      <c r="B12" t="s">
        <v>71</v>
      </c>
      <c r="C12" t="s">
        <v>72</v>
      </c>
      <c r="D12">
        <v>9</v>
      </c>
    </row>
    <row r="13" spans="2:4" x14ac:dyDescent="0.3">
      <c r="B13" t="s">
        <v>73</v>
      </c>
      <c r="C13" t="s">
        <v>72</v>
      </c>
      <c r="D13">
        <v>10</v>
      </c>
    </row>
  </sheetData>
  <hyperlinks>
    <hyperlink ref="B7" r:id="rId1" location="VHF_RADIOTELEPHONE" display="https://www.furuno.com/en/merchant/gmdss/ - VHF_RADIOTELEPHONE" xr:uid="{5FC558FB-1749-4CDE-BE99-DFF45A6A878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791-8015-4BE0-A667-3B23288F20F0}">
  <dimension ref="B1:F8"/>
  <sheetViews>
    <sheetView workbookViewId="0">
      <selection activeCell="H7" sqref="H7"/>
    </sheetView>
  </sheetViews>
  <sheetFormatPr defaultRowHeight="14.4" x14ac:dyDescent="0.3"/>
  <cols>
    <col min="2" max="2" width="12.77734375" bestFit="1" customWidth="1"/>
    <col min="5" max="5" width="20.88671875" bestFit="1" customWidth="1"/>
  </cols>
  <sheetData>
    <row r="1" spans="2:6" x14ac:dyDescent="0.3">
      <c r="E1" s="5" t="s">
        <v>84</v>
      </c>
      <c r="F1" s="5"/>
    </row>
    <row r="2" spans="2:6" x14ac:dyDescent="0.3">
      <c r="B2" t="s">
        <v>75</v>
      </c>
      <c r="C2" t="s">
        <v>74</v>
      </c>
      <c r="D2" t="s">
        <v>79</v>
      </c>
      <c r="E2" s="1" t="s">
        <v>83</v>
      </c>
      <c r="F2" s="1" t="s">
        <v>85</v>
      </c>
    </row>
    <row r="3" spans="2:6" x14ac:dyDescent="0.3">
      <c r="B3">
        <v>1</v>
      </c>
      <c r="C3">
        <v>600</v>
      </c>
      <c r="E3">
        <f>30*12</f>
        <v>360</v>
      </c>
    </row>
    <row r="4" spans="2:6" x14ac:dyDescent="0.3">
      <c r="B4">
        <v>2</v>
      </c>
      <c r="C4">
        <v>1800</v>
      </c>
      <c r="E4">
        <v>720</v>
      </c>
    </row>
    <row r="5" spans="2:6" x14ac:dyDescent="0.3">
      <c r="B5">
        <v>3</v>
      </c>
      <c r="C5">
        <v>5400</v>
      </c>
      <c r="D5">
        <v>12</v>
      </c>
      <c r="E5">
        <v>1000</v>
      </c>
      <c r="F5">
        <v>3</v>
      </c>
    </row>
    <row r="6" spans="2:6" x14ac:dyDescent="0.3">
      <c r="B6">
        <v>4</v>
      </c>
      <c r="C6">
        <v>10800</v>
      </c>
      <c r="D6">
        <v>36</v>
      </c>
      <c r="E6">
        <f>60*12</f>
        <v>720</v>
      </c>
      <c r="F6">
        <v>4</v>
      </c>
    </row>
    <row r="7" spans="2:6" x14ac:dyDescent="0.3">
      <c r="B7">
        <v>5</v>
      </c>
      <c r="C7">
        <v>21600</v>
      </c>
      <c r="D7">
        <v>60</v>
      </c>
      <c r="E7">
        <f>90*12</f>
        <v>1080</v>
      </c>
      <c r="F7">
        <v>6</v>
      </c>
    </row>
    <row r="8" spans="2:6" x14ac:dyDescent="0.3">
      <c r="B8">
        <v>6</v>
      </c>
      <c r="C8">
        <v>43200</v>
      </c>
      <c r="D8">
        <v>120</v>
      </c>
      <c r="E8">
        <f>180*12</f>
        <v>2160</v>
      </c>
      <c r="F8">
        <v>8</v>
      </c>
    </row>
  </sheetData>
  <mergeCells count="1"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3033-6EC9-4BF4-B91A-657D094464E1}">
  <dimension ref="B2:E6"/>
  <sheetViews>
    <sheetView workbookViewId="0">
      <selection activeCell="A18" sqref="A18"/>
    </sheetView>
  </sheetViews>
  <sheetFormatPr defaultRowHeight="14.4" x14ac:dyDescent="0.3"/>
  <cols>
    <col min="2" max="2" width="12.77734375" bestFit="1" customWidth="1"/>
    <col min="5" max="5" width="20.88671875" bestFit="1" customWidth="1"/>
  </cols>
  <sheetData>
    <row r="2" spans="2:5" x14ac:dyDescent="0.3">
      <c r="B2" t="s">
        <v>75</v>
      </c>
      <c r="C2" t="s">
        <v>74</v>
      </c>
      <c r="D2" t="s">
        <v>79</v>
      </c>
      <c r="E2" t="s">
        <v>80</v>
      </c>
    </row>
    <row r="3" spans="2:5" x14ac:dyDescent="0.3">
      <c r="B3">
        <v>1</v>
      </c>
      <c r="C3">
        <v>500</v>
      </c>
      <c r="E3">
        <v>100</v>
      </c>
    </row>
    <row r="4" spans="2:5" x14ac:dyDescent="0.3">
      <c r="B4">
        <v>2</v>
      </c>
      <c r="C4">
        <v>2000</v>
      </c>
      <c r="E4">
        <v>200</v>
      </c>
    </row>
    <row r="5" spans="2:5" x14ac:dyDescent="0.3">
      <c r="B5">
        <v>3</v>
      </c>
      <c r="C5">
        <v>6000</v>
      </c>
      <c r="D5">
        <v>12</v>
      </c>
      <c r="E5">
        <v>300</v>
      </c>
    </row>
    <row r="6" spans="2:5" x14ac:dyDescent="0.3">
      <c r="B6">
        <v>4</v>
      </c>
      <c r="C6">
        <v>12000</v>
      </c>
      <c r="D6">
        <v>36</v>
      </c>
      <c r="E6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DF97-9461-48E8-A18C-BBBBE0377588}">
  <dimension ref="B3:E5"/>
  <sheetViews>
    <sheetView workbookViewId="0">
      <selection activeCell="E18" sqref="E18"/>
    </sheetView>
  </sheetViews>
  <sheetFormatPr defaultRowHeight="14.4" x14ac:dyDescent="0.3"/>
  <cols>
    <col min="5" max="5" width="20.88671875" bestFit="1" customWidth="1"/>
  </cols>
  <sheetData>
    <row r="3" spans="2:5" x14ac:dyDescent="0.3">
      <c r="B3" t="s">
        <v>75</v>
      </c>
      <c r="C3" t="s">
        <v>74</v>
      </c>
      <c r="D3" t="s">
        <v>79</v>
      </c>
      <c r="E3" t="s">
        <v>81</v>
      </c>
    </row>
    <row r="4" spans="2:5" x14ac:dyDescent="0.3">
      <c r="B4">
        <v>1</v>
      </c>
      <c r="D4">
        <v>3</v>
      </c>
      <c r="E4">
        <v>1</v>
      </c>
    </row>
    <row r="5" spans="2:5" x14ac:dyDescent="0.3">
      <c r="B5">
        <v>2</v>
      </c>
      <c r="D5">
        <v>12</v>
      </c>
      <c r="E5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794D-9431-41A6-B647-6283867D7854}">
  <dimension ref="C3:F5"/>
  <sheetViews>
    <sheetView workbookViewId="0">
      <selection activeCell="C3" sqref="C3:F5"/>
    </sheetView>
  </sheetViews>
  <sheetFormatPr defaultRowHeight="14.4" x14ac:dyDescent="0.3"/>
  <sheetData>
    <row r="3" spans="3:6" x14ac:dyDescent="0.3">
      <c r="C3" t="s">
        <v>75</v>
      </c>
      <c r="D3" t="s">
        <v>74</v>
      </c>
      <c r="E3" t="s">
        <v>79</v>
      </c>
      <c r="F3" t="s">
        <v>80</v>
      </c>
    </row>
    <row r="4" spans="3:6" x14ac:dyDescent="0.3">
      <c r="C4">
        <v>1</v>
      </c>
      <c r="D4">
        <v>5400</v>
      </c>
      <c r="E4">
        <v>12</v>
      </c>
      <c r="F4">
        <f>60*12</f>
        <v>720</v>
      </c>
    </row>
    <row r="5" spans="3:6" x14ac:dyDescent="0.3">
      <c r="C5">
        <v>2</v>
      </c>
      <c r="D5">
        <v>43200</v>
      </c>
      <c r="E5">
        <v>120</v>
      </c>
      <c r="F5">
        <f>180*12</f>
        <v>2160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2CDB-3F26-4C90-8189-8FCC23BB77BF}">
  <dimension ref="B2:E4"/>
  <sheetViews>
    <sheetView workbookViewId="0">
      <selection activeCell="G16" sqref="G16"/>
    </sheetView>
  </sheetViews>
  <sheetFormatPr defaultRowHeight="14.4" x14ac:dyDescent="0.3"/>
  <cols>
    <col min="2" max="2" width="12.77734375" bestFit="1" customWidth="1"/>
    <col min="5" max="5" width="20.88671875" bestFit="1" customWidth="1"/>
  </cols>
  <sheetData>
    <row r="2" spans="2:5" x14ac:dyDescent="0.3">
      <c r="B2" t="s">
        <v>75</v>
      </c>
      <c r="C2" t="s">
        <v>74</v>
      </c>
      <c r="D2" t="s">
        <v>79</v>
      </c>
      <c r="E2" t="s">
        <v>80</v>
      </c>
    </row>
    <row r="3" spans="2:5" x14ac:dyDescent="0.3">
      <c r="B3">
        <v>1</v>
      </c>
      <c r="C3">
        <v>5400</v>
      </c>
      <c r="D3">
        <v>12</v>
      </c>
      <c r="E3">
        <f>60*12</f>
        <v>720</v>
      </c>
    </row>
    <row r="4" spans="2:5" x14ac:dyDescent="0.3">
      <c r="B4">
        <v>2</v>
      </c>
      <c r="C4">
        <v>43200</v>
      </c>
      <c r="D4">
        <v>120</v>
      </c>
      <c r="E4">
        <f>180*12</f>
        <v>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Equipment list</vt:lpstr>
      <vt:lpstr>List of vessels</vt:lpstr>
      <vt:lpstr>List of division</vt:lpstr>
      <vt:lpstr>Equipment type</vt:lpstr>
      <vt:lpstr>Maintanance matrix list</vt:lpstr>
      <vt:lpstr>Matrix 1</vt:lpstr>
      <vt:lpstr>Matrix 2</vt:lpstr>
      <vt:lpstr>Matrix 3</vt:lpstr>
      <vt:lpstr>Matrix 9</vt:lpstr>
      <vt:lpstr>Matrix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Zalisskii</dc:creator>
  <cp:lastModifiedBy>Ivan Zalisskii</cp:lastModifiedBy>
  <dcterms:created xsi:type="dcterms:W3CDTF">2025-05-28T09:58:28Z</dcterms:created>
  <dcterms:modified xsi:type="dcterms:W3CDTF">2025-05-28T12:35:16Z</dcterms:modified>
</cp:coreProperties>
</file>